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1BA4A54-9C10-424B-8E0B-9F2B204823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" sheetId="1" r:id="rId1"/>
  </sheets>
  <definedNames>
    <definedName name="_xlnm.Print_Area" localSheetId="0">sk!$A$1:$L$53</definedName>
    <definedName name="calibre20">sk!$B$6</definedName>
    <definedName name="_xlnm.Print_Titles" localSheetId="0">sk!$1:$8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M14" i="1"/>
  <c r="M15" i="1"/>
  <c r="K10" i="1"/>
  <c r="K11" i="1"/>
  <c r="K12" i="1"/>
  <c r="K13" i="1"/>
  <c r="L13" i="1" s="1"/>
  <c r="K14" i="1"/>
  <c r="L14" i="1" s="1"/>
  <c r="H10" i="1"/>
  <c r="M10" i="1" s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H49" i="1"/>
  <c r="O15" i="1"/>
  <c r="H16" i="1"/>
  <c r="H17" i="1"/>
  <c r="H18" i="1"/>
  <c r="H19" i="1"/>
  <c r="H20" i="1"/>
  <c r="H21" i="1"/>
  <c r="H22" i="1"/>
  <c r="H23" i="1"/>
  <c r="O23" i="1" s="1"/>
  <c r="H24" i="1"/>
  <c r="H25" i="1"/>
  <c r="H26" i="1"/>
  <c r="H27" i="1"/>
  <c r="O27" i="1" s="1"/>
  <c r="H28" i="1"/>
  <c r="O28" i="1" s="1"/>
  <c r="H29" i="1"/>
  <c r="H30" i="1"/>
  <c r="H31" i="1"/>
  <c r="O31" i="1" s="1"/>
  <c r="H32" i="1"/>
  <c r="O32" i="1" s="1"/>
  <c r="H33" i="1"/>
  <c r="H34" i="1"/>
  <c r="H35" i="1"/>
  <c r="O35" i="1" s="1"/>
  <c r="H36" i="1"/>
  <c r="H37" i="1"/>
  <c r="H38" i="1"/>
  <c r="H39" i="1"/>
  <c r="O39" i="1" s="1"/>
  <c r="H40" i="1"/>
  <c r="H41" i="1"/>
  <c r="H42" i="1"/>
  <c r="O42" i="1" s="1"/>
  <c r="H43" i="1"/>
  <c r="H44" i="1"/>
  <c r="O44" i="1" s="1"/>
  <c r="H45" i="1"/>
  <c r="H46" i="1"/>
  <c r="O46" i="1" s="1"/>
  <c r="H47" i="1"/>
  <c r="H48" i="1"/>
  <c r="O48" i="1" s="1"/>
  <c r="H11" i="1"/>
  <c r="M11" i="1" s="1"/>
  <c r="O13" i="1"/>
  <c r="K49" i="1"/>
  <c r="O49" i="1"/>
  <c r="K48" i="1"/>
  <c r="K47" i="1"/>
  <c r="K46" i="1"/>
  <c r="K45" i="1"/>
  <c r="O45" i="1"/>
  <c r="K44" i="1"/>
  <c r="O41" i="1"/>
  <c r="O38" i="1"/>
  <c r="O37" i="1"/>
  <c r="O33" i="1"/>
  <c r="O30" i="1"/>
  <c r="O29" i="1"/>
  <c r="O25" i="1"/>
  <c r="O22" i="1"/>
  <c r="O21" i="1"/>
  <c r="O18" i="1"/>
  <c r="O17" i="1"/>
  <c r="K17" i="1"/>
  <c r="K16" i="1"/>
  <c r="K15" i="1"/>
  <c r="L15" i="1" s="1"/>
  <c r="O11" i="1"/>
  <c r="L11" i="1"/>
  <c r="L10" i="1"/>
  <c r="O20" i="1" l="1"/>
  <c r="O26" i="1"/>
  <c r="O36" i="1"/>
  <c r="O43" i="1"/>
  <c r="O10" i="1"/>
  <c r="O19" i="1"/>
  <c r="O12" i="1"/>
  <c r="O16" i="1"/>
  <c r="O24" i="1"/>
  <c r="O34" i="1"/>
  <c r="O40" i="1"/>
  <c r="O47" i="1"/>
  <c r="L52" i="1"/>
  <c r="L12" i="1"/>
  <c r="L50" i="1" s="1"/>
  <c r="O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PLYMA</author>
    <author>Marisol</author>
  </authors>
  <commentList>
    <comment ref="A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PLYMA:
NO BORRAR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calibre 24</t>
        </r>
      </text>
    </comment>
    <comment ref="C6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calibre 22
</t>
        </r>
      </text>
    </comment>
    <comment ref="D6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calibre 20</t>
        </r>
      </text>
    </comment>
    <comment ref="E6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calibre18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<sst xmlns="http://schemas.openxmlformats.org/spreadsheetml/2006/main" count="40" uniqueCount="37">
  <si>
    <t xml:space="preserve">     OBRA N°</t>
  </si>
  <si>
    <t xml:space="preserve">       NOMBRE DE LA OBRA / SISTEMA O UBICACIÓN</t>
  </si>
  <si>
    <t>MONTADOR</t>
  </si>
  <si>
    <t>N° ORDEN:</t>
  </si>
  <si>
    <t>UMA Instalado hasta el 15 de Junio</t>
  </si>
  <si>
    <t>ENVIO A TALLER</t>
  </si>
  <si>
    <t>TERMINO TALLER</t>
  </si>
  <si>
    <t xml:space="preserve">       TRAZADOR</t>
  </si>
  <si>
    <t>CONTROL DE LAMINA</t>
  </si>
  <si>
    <t>FECHA:</t>
  </si>
  <si>
    <t>24/</t>
  </si>
  <si>
    <t>22/</t>
  </si>
  <si>
    <t>18/</t>
  </si>
  <si>
    <t>PIEZA</t>
  </si>
  <si>
    <t>LIBRERIAS</t>
  </si>
  <si>
    <t>DESCRIPCION / DIBUJO; MEDIDAS EN PULGADAS</t>
  </si>
  <si>
    <t>LONG</t>
  </si>
  <si>
    <t>CANT.</t>
  </si>
  <si>
    <t>CAL.</t>
  </si>
  <si>
    <t>SEMI</t>
  </si>
  <si>
    <t>KG.</t>
  </si>
  <si>
    <t>N°</t>
  </si>
  <si>
    <t>TIPO</t>
  </si>
  <si>
    <t>EMPATE</t>
  </si>
  <si>
    <t>A</t>
  </si>
  <si>
    <t>B</t>
  </si>
  <si>
    <t>RADIO</t>
  </si>
  <si>
    <t>(MT)</t>
  </si>
  <si>
    <t>PZAS.</t>
  </si>
  <si>
    <t>PERIM.</t>
  </si>
  <si>
    <t>x</t>
  </si>
  <si>
    <t>TOTAL Kgs. Esta Página ===&gt;</t>
  </si>
  <si>
    <t>TOTAL M2. Acumulado ===&gt;</t>
  </si>
  <si>
    <t>codo</t>
  </si>
  <si>
    <t>plenon</t>
  </si>
  <si>
    <t>conexión a maquina 3 tr</t>
  </si>
  <si>
    <t>conexión a maquina 5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</si>
</sst>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u/>
      <sz val="10"/>
      <color indexed="22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4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3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/>
      <right/>
      <top style="hair">
        <color indexed="63"/>
      </top>
      <bottom style="hair">
        <color indexed="63"/>
      </bottom>
      <diagonal/>
    </border>
    <border>
      <left/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thin">
        <color indexed="64"/>
      </bottom>
      <diagonal/>
    </border>
    <border>
      <left style="thin">
        <color indexed="63"/>
      </left>
      <right/>
      <top style="hair">
        <color indexed="63"/>
      </top>
      <bottom style="thin">
        <color indexed="64"/>
      </bottom>
      <diagonal/>
    </border>
    <border>
      <left/>
      <right/>
      <top style="hair">
        <color indexed="63"/>
      </top>
      <bottom/>
      <diagonal/>
    </border>
    <border>
      <left/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3" fillId="0" borderId="14" xfId="0" applyFont="1" applyBorder="1"/>
    <xf numFmtId="14" fontId="0" fillId="0" borderId="15" xfId="0" applyNumberFormat="1" applyBorder="1" applyAlignment="1">
      <alignment horizontal="center"/>
    </xf>
    <xf numFmtId="0" fontId="3" fillId="0" borderId="20" xfId="0" applyFont="1" applyBorder="1"/>
    <xf numFmtId="0" fontId="0" fillId="0" borderId="21" xfId="0" applyBorder="1"/>
    <xf numFmtId="0" fontId="3" fillId="0" borderId="18" xfId="0" applyFont="1" applyBorder="1" applyAlignment="1">
      <alignment horizontal="right"/>
    </xf>
    <xf numFmtId="0" fontId="3" fillId="0" borderId="23" xfId="0" applyFont="1" applyBorder="1"/>
    <xf numFmtId="0" fontId="3" fillId="0" borderId="23" xfId="0" applyFont="1" applyBorder="1" applyAlignment="1">
      <alignment horizontal="right"/>
    </xf>
    <xf numFmtId="0" fontId="0" fillId="0" borderId="23" xfId="0" applyBorder="1"/>
    <xf numFmtId="0" fontId="0" fillId="0" borderId="19" xfId="0" applyBorder="1"/>
    <xf numFmtId="0" fontId="4" fillId="0" borderId="0" xfId="0" applyFont="1"/>
    <xf numFmtId="0" fontId="3" fillId="0" borderId="24" xfId="0" applyFont="1" applyBorder="1" applyAlignment="1">
      <alignment horizontal="center"/>
    </xf>
    <xf numFmtId="0" fontId="6" fillId="0" borderId="2" xfId="1" applyFont="1" applyBorder="1" applyAlignment="1" applyProtection="1"/>
    <xf numFmtId="0" fontId="3" fillId="0" borderId="2" xfId="0" applyFont="1" applyBorder="1"/>
    <xf numFmtId="0" fontId="3" fillId="0" borderId="3" xfId="0" applyFont="1" applyBorder="1"/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0" fontId="7" fillId="0" borderId="10" xfId="0" applyFont="1" applyBorder="1"/>
    <xf numFmtId="0" fontId="3" fillId="0" borderId="10" xfId="0" applyFont="1" applyBorder="1"/>
    <xf numFmtId="0" fontId="7" fillId="0" borderId="10" xfId="0" applyFont="1" applyBorder="1" applyAlignment="1">
      <alignment horizontal="center"/>
    </xf>
    <xf numFmtId="16" fontId="2" fillId="2" borderId="28" xfId="0" applyNumberFormat="1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2" borderId="29" xfId="0" applyFill="1" applyBorder="1" applyAlignment="1">
      <alignment horizontal="right"/>
    </xf>
    <xf numFmtId="0" fontId="1" fillId="0" borderId="29" xfId="0" applyFont="1" applyBorder="1" applyAlignment="1">
      <alignment horizontal="center"/>
    </xf>
    <xf numFmtId="12" fontId="0" fillId="0" borderId="29" xfId="0" applyNumberFormat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2" borderId="28" xfId="0" applyFill="1" applyBorder="1" applyAlignment="1">
      <alignment horizontal="center"/>
    </xf>
    <xf numFmtId="2" fontId="0" fillId="2" borderId="28" xfId="0" applyNumberFormat="1" applyFill="1" applyBorder="1" applyAlignment="1">
      <alignment horizontal="center"/>
    </xf>
    <xf numFmtId="2" fontId="0" fillId="2" borderId="0" xfId="0" applyNumberFormat="1" applyFill="1"/>
    <xf numFmtId="0" fontId="0" fillId="2" borderId="0" xfId="0" applyFill="1"/>
    <xf numFmtId="0" fontId="1" fillId="2" borderId="28" xfId="0" applyFont="1" applyFill="1" applyBorder="1" applyAlignment="1">
      <alignment horizontal="center"/>
    </xf>
    <xf numFmtId="0" fontId="0" fillId="2" borderId="29" xfId="0" applyFill="1" applyBorder="1" applyAlignment="1">
      <alignment horizontal="left"/>
    </xf>
    <xf numFmtId="0" fontId="1" fillId="2" borderId="29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2" fontId="0" fillId="2" borderId="29" xfId="0" applyNumberFormat="1" applyFill="1" applyBorder="1" applyAlignment="1">
      <alignment horizontal="right"/>
    </xf>
    <xf numFmtId="12" fontId="0" fillId="2" borderId="29" xfId="0" applyNumberFormat="1" applyFill="1" applyBorder="1" applyAlignment="1">
      <alignment horizontal="left"/>
    </xf>
    <xf numFmtId="0" fontId="1" fillId="0" borderId="28" xfId="0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0" xfId="0" applyNumberFormat="1"/>
    <xf numFmtId="0" fontId="0" fillId="0" borderId="31" xfId="0" applyBorder="1" applyAlignment="1">
      <alignment horizontal="left"/>
    </xf>
    <xf numFmtId="0" fontId="0" fillId="0" borderId="29" xfId="0" applyBorder="1" applyAlignment="1">
      <alignment horizontal="right"/>
    </xf>
    <xf numFmtId="0" fontId="0" fillId="0" borderId="29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4" xfId="0" applyBorder="1" applyAlignment="1">
      <alignment horizontal="right"/>
    </xf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1" fillId="0" borderId="37" xfId="0" applyFont="1" applyBorder="1"/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right"/>
    </xf>
    <xf numFmtId="0" fontId="1" fillId="0" borderId="37" xfId="0" applyFont="1" applyBorder="1" applyAlignment="1">
      <alignment horizontal="center"/>
    </xf>
    <xf numFmtId="2" fontId="0" fillId="0" borderId="37" xfId="0" applyNumberFormat="1" applyBorder="1" applyAlignment="1">
      <alignment horizontal="left"/>
    </xf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1" fillId="0" borderId="0" xfId="0" applyFont="1"/>
    <xf numFmtId="0" fontId="3" fillId="0" borderId="5" xfId="0" applyFont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52</xdr:row>
      <xdr:rowOff>0</xdr:rowOff>
    </xdr:from>
    <xdr:to>
      <xdr:col>2</xdr:col>
      <xdr:colOff>628650</xdr:colOff>
      <xdr:row>52</xdr:row>
      <xdr:rowOff>0</xdr:rowOff>
    </xdr:to>
    <xdr:sp macro="" textlink="">
      <xdr:nvSpPr>
        <xdr:cNvPr id="2" name="Lin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H="1">
          <a:off x="1123950" y="8239125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619125</xdr:colOff>
      <xdr:row>52</xdr:row>
      <xdr:rowOff>0</xdr:rowOff>
    </xdr:to>
    <xdr:sp macro="" textlink="">
      <xdr:nvSpPr>
        <xdr:cNvPr id="3" name="Line 25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H="1">
          <a:off x="1123950" y="8239125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628650</xdr:colOff>
      <xdr:row>53</xdr:row>
      <xdr:rowOff>0</xdr:rowOff>
    </xdr:to>
    <xdr:sp macro="" textlink="">
      <xdr:nvSpPr>
        <xdr:cNvPr id="4" name="Line 26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 flipH="1">
          <a:off x="1123950" y="8401050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619125</xdr:colOff>
      <xdr:row>53</xdr:row>
      <xdr:rowOff>0</xdr:rowOff>
    </xdr:to>
    <xdr:sp macro="" textlink="">
      <xdr:nvSpPr>
        <xdr:cNvPr id="5" name="Line 26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H="1">
          <a:off x="1123950" y="840105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Marisol/AppData/Downloads/LIBRERIAS.xl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showGridLines="0" showZeros="0" tabSelected="1" view="pageLayout" zoomScaleNormal="140" workbookViewId="0">
      <selection activeCell="L52" sqref="L52"/>
    </sheetView>
  </sheetViews>
  <sheetFormatPr baseColWidth="10" defaultRowHeight="13" x14ac:dyDescent="0.3"/>
  <cols>
    <col min="1" max="1" width="6.1796875" style="76" customWidth="1"/>
    <col min="2" max="2" width="10.7265625" customWidth="1"/>
    <col min="3" max="3" width="11.26953125" customWidth="1"/>
    <col min="4" max="4" width="10.7265625" customWidth="1"/>
    <col min="5" max="5" width="7.26953125" customWidth="1"/>
    <col min="6" max="6" width="12.26953125" customWidth="1"/>
    <col min="7" max="7" width="7.81640625" customWidth="1"/>
    <col min="8" max="8" width="7.453125" customWidth="1"/>
    <col min="9" max="9" width="5.26953125" customWidth="1"/>
    <col min="10" max="10" width="4.26953125" customWidth="1"/>
    <col min="11" max="11" width="6" customWidth="1"/>
    <col min="12" max="12" width="9.54296875" bestFit="1" customWidth="1"/>
    <col min="13" max="13" width="9.1796875" bestFit="1" customWidth="1"/>
  </cols>
  <sheetData>
    <row r="1" spans="1:15" x14ac:dyDescent="0.3">
      <c r="A1" s="1"/>
      <c r="B1" s="2" t="s">
        <v>0</v>
      </c>
      <c r="C1" s="3"/>
      <c r="D1" s="4" t="s">
        <v>1</v>
      </c>
      <c r="E1" s="2"/>
      <c r="F1" s="2"/>
      <c r="G1" s="5"/>
      <c r="H1" s="5"/>
      <c r="I1" s="5"/>
      <c r="J1" s="6"/>
      <c r="K1" s="80" t="s">
        <v>2</v>
      </c>
      <c r="L1" s="81"/>
    </row>
    <row r="2" spans="1:15" x14ac:dyDescent="0.3">
      <c r="A2" s="82"/>
      <c r="B2" s="83"/>
      <c r="C2" s="84"/>
      <c r="D2" s="7"/>
      <c r="J2" s="8"/>
      <c r="K2" s="7"/>
      <c r="L2" s="8"/>
    </row>
    <row r="3" spans="1:15" x14ac:dyDescent="0.3">
      <c r="A3" s="85" t="s">
        <v>3</v>
      </c>
      <c r="B3" s="86"/>
      <c r="C3" s="9"/>
      <c r="D3" s="10"/>
      <c r="E3" s="87" t="s">
        <v>4</v>
      </c>
      <c r="F3" s="87"/>
      <c r="G3" s="88"/>
      <c r="H3" s="88"/>
      <c r="I3" s="88"/>
      <c r="J3" s="89"/>
      <c r="K3" s="90"/>
      <c r="L3" s="91"/>
    </row>
    <row r="4" spans="1:15" ht="12.75" customHeight="1" x14ac:dyDescent="0.25">
      <c r="A4" s="92" t="s">
        <v>5</v>
      </c>
      <c r="B4" s="93"/>
      <c r="C4" s="94" t="s">
        <v>6</v>
      </c>
      <c r="D4" s="95"/>
      <c r="E4" s="96" t="s">
        <v>7</v>
      </c>
      <c r="F4" s="97"/>
      <c r="G4" s="98" t="s">
        <v>8</v>
      </c>
      <c r="H4" s="98"/>
      <c r="I4" s="98"/>
      <c r="J4" s="98"/>
      <c r="K4" s="98"/>
      <c r="L4" s="99"/>
    </row>
    <row r="5" spans="1:15" ht="18.75" customHeight="1" x14ac:dyDescent="0.3">
      <c r="A5" s="11" t="s">
        <v>9</v>
      </c>
      <c r="B5" s="12"/>
      <c r="C5" s="13" t="s">
        <v>9</v>
      </c>
      <c r="D5" s="14"/>
      <c r="E5" s="78"/>
      <c r="F5" s="79"/>
      <c r="G5" s="15" t="s">
        <v>10</v>
      </c>
      <c r="H5" s="16"/>
      <c r="I5" s="17" t="s">
        <v>11</v>
      </c>
      <c r="J5" s="18"/>
      <c r="K5" s="17" t="s">
        <v>12</v>
      </c>
      <c r="L5" s="19">
        <v>8</v>
      </c>
    </row>
    <row r="6" spans="1:15" ht="12.5" x14ac:dyDescent="0.25">
      <c r="A6" s="20">
        <v>6.3E-2</v>
      </c>
      <c r="B6" s="20">
        <v>0.372</v>
      </c>
      <c r="C6" s="20">
        <v>0.441</v>
      </c>
      <c r="D6" s="20">
        <v>0.57099999999999995</v>
      </c>
      <c r="E6" s="20">
        <v>0.67600000000000005</v>
      </c>
    </row>
    <row r="7" spans="1:15" ht="12" customHeight="1" x14ac:dyDescent="0.25">
      <c r="A7" s="21" t="s">
        <v>13</v>
      </c>
      <c r="B7" s="22" t="s">
        <v>14</v>
      </c>
      <c r="C7" s="23" t="s">
        <v>15</v>
      </c>
      <c r="D7" s="23"/>
      <c r="E7" s="23"/>
      <c r="F7" s="23"/>
      <c r="G7" s="24"/>
      <c r="H7" s="25" t="s">
        <v>16</v>
      </c>
      <c r="I7" s="25" t="s">
        <v>17</v>
      </c>
      <c r="J7" s="25" t="s">
        <v>18</v>
      </c>
      <c r="K7" s="25" t="s">
        <v>19</v>
      </c>
      <c r="L7" s="25" t="s">
        <v>20</v>
      </c>
    </row>
    <row r="8" spans="1:15" ht="12.5" x14ac:dyDescent="0.25">
      <c r="A8" s="26" t="s">
        <v>21</v>
      </c>
      <c r="B8" s="27" t="s">
        <v>22</v>
      </c>
      <c r="C8" s="27" t="s">
        <v>23</v>
      </c>
      <c r="D8" s="28" t="s">
        <v>24</v>
      </c>
      <c r="E8" s="77" t="s">
        <v>30</v>
      </c>
      <c r="F8" s="29" t="s">
        <v>25</v>
      </c>
      <c r="G8" s="30" t="s">
        <v>26</v>
      </c>
      <c r="H8" s="31" t="s">
        <v>27</v>
      </c>
      <c r="I8" s="31" t="s">
        <v>28</v>
      </c>
      <c r="J8" s="31"/>
      <c r="K8" s="31" t="s">
        <v>29</v>
      </c>
      <c r="L8" s="31"/>
    </row>
    <row r="9" spans="1:15" ht="12.5" x14ac:dyDescent="0.25">
      <c r="A9" s="32"/>
      <c r="B9" s="33"/>
      <c r="C9" s="33"/>
      <c r="D9" s="34"/>
      <c r="E9" s="35"/>
      <c r="F9" s="36"/>
      <c r="G9" s="32"/>
      <c r="H9" s="37"/>
      <c r="I9" s="37"/>
      <c r="J9" s="37"/>
      <c r="K9" s="37"/>
      <c r="L9" s="37"/>
    </row>
    <row r="10" spans="1:15" s="48" customFormat="1" ht="12" customHeight="1" x14ac:dyDescent="0.3">
      <c r="A10" s="38"/>
      <c r="B10" s="39" t="s">
        <v>33</v>
      </c>
      <c r="C10" s="39"/>
      <c r="D10" s="40">
        <v>11</v>
      </c>
      <c r="E10" s="41"/>
      <c r="F10" s="42">
        <v>15</v>
      </c>
      <c r="G10" s="43">
        <v>8</v>
      </c>
      <c r="H10" s="56">
        <f t="shared" ref="H10:H49" si="0">IF($G10="","",IF($B10="CODO",(((($D10+$D10)/2)+(2*$G10))*2.54/100),""))</f>
        <v>0.68579999999999997</v>
      </c>
      <c r="I10" s="44">
        <v>2</v>
      </c>
      <c r="J10" s="45">
        <v>24</v>
      </c>
      <c r="K10" s="45">
        <f t="shared" ref="K10:K48" si="1">IF(D10="","",D10+F10)</f>
        <v>26</v>
      </c>
      <c r="L10" s="46">
        <f>IF(J10=24,ROUND($B$6*H10*I10*K10,2),IF(J10=22,ROUND($C$6*H10*I10*K10,2),IF(J10=20,ROUND($D$6*H10*I10*K10,2),IF(J10=18,ROUND($E$6*H10*I10*K10,2),IF(J10="","")))))</f>
        <v>13.27</v>
      </c>
      <c r="M10" s="47">
        <f t="shared" ref="M10:M15" si="2">(((D10+F10)*H10)*$A$6)*I10</f>
        <v>2.2466808</v>
      </c>
      <c r="O10" s="48">
        <f>(H10*(D10+F10))*I10</f>
        <v>35.6616</v>
      </c>
    </row>
    <row r="11" spans="1:15" s="48" customFormat="1" ht="12" customHeight="1" x14ac:dyDescent="0.3">
      <c r="A11" s="49"/>
      <c r="B11" s="39" t="s">
        <v>33</v>
      </c>
      <c r="C11" s="39"/>
      <c r="D11" s="40">
        <v>24</v>
      </c>
      <c r="E11" s="51"/>
      <c r="F11" s="50">
        <v>11</v>
      </c>
      <c r="G11" s="43">
        <v>8</v>
      </c>
      <c r="H11" s="56">
        <f t="shared" si="0"/>
        <v>1.016</v>
      </c>
      <c r="I11" s="45">
        <v>1</v>
      </c>
      <c r="J11" s="45">
        <v>24</v>
      </c>
      <c r="K11" s="45">
        <f t="shared" si="1"/>
        <v>35</v>
      </c>
      <c r="L11" s="46">
        <f t="shared" ref="L11:L49" si="3">IF(J11=24,ROUND($B$6*H11*I11*K11,2),IF(J11=22,ROUND($C$6*H11*I11*K11,2),IF(J11=20,ROUND($D$6*H11*I11*K11,2),IF(J11=18,ROUND($E$6*H11*I11*K11,2),IF(J11="","")))))</f>
        <v>13.23</v>
      </c>
      <c r="M11" s="47">
        <f t="shared" si="2"/>
        <v>2.2402800000000003</v>
      </c>
      <c r="O11" s="48">
        <f t="shared" ref="O11:O48" si="4">(H11*(D11+F11))*I11</f>
        <v>35.56</v>
      </c>
    </row>
    <row r="12" spans="1:15" s="48" customFormat="1" ht="12" customHeight="1" x14ac:dyDescent="0.3">
      <c r="A12" s="49"/>
      <c r="B12" s="50" t="s">
        <v>34</v>
      </c>
      <c r="C12" s="39"/>
      <c r="D12" s="40">
        <v>24</v>
      </c>
      <c r="E12" s="51"/>
      <c r="F12" s="50">
        <v>11</v>
      </c>
      <c r="G12" s="43"/>
      <c r="H12" s="56">
        <v>0.9</v>
      </c>
      <c r="I12" s="45">
        <v>1</v>
      </c>
      <c r="J12" s="45">
        <v>24</v>
      </c>
      <c r="K12" s="45">
        <f t="shared" si="1"/>
        <v>35</v>
      </c>
      <c r="L12" s="46">
        <f t="shared" si="3"/>
        <v>11.72</v>
      </c>
      <c r="M12" s="47">
        <f t="shared" si="2"/>
        <v>1.9844999999999999</v>
      </c>
      <c r="O12" s="48">
        <f t="shared" si="4"/>
        <v>31.5</v>
      </c>
    </row>
    <row r="13" spans="1:15" s="48" customFormat="1" ht="12" customHeight="1" x14ac:dyDescent="0.3">
      <c r="A13" s="49"/>
      <c r="B13" s="50" t="s">
        <v>34</v>
      </c>
      <c r="C13" s="39"/>
      <c r="D13" s="40">
        <v>18</v>
      </c>
      <c r="E13" s="51"/>
      <c r="F13" s="50">
        <v>12</v>
      </c>
      <c r="G13" s="43"/>
      <c r="H13" s="56">
        <v>0.7</v>
      </c>
      <c r="I13" s="45">
        <v>1</v>
      </c>
      <c r="J13" s="45">
        <v>24</v>
      </c>
      <c r="K13" s="45">
        <f t="shared" si="1"/>
        <v>30</v>
      </c>
      <c r="L13" s="46">
        <f t="shared" si="3"/>
        <v>7.81</v>
      </c>
      <c r="M13" s="47">
        <f t="shared" si="2"/>
        <v>1.323</v>
      </c>
      <c r="O13" s="48">
        <f t="shared" si="4"/>
        <v>21</v>
      </c>
    </row>
    <row r="14" spans="1:15" s="48" customFormat="1" ht="12" customHeight="1" x14ac:dyDescent="0.3">
      <c r="A14" s="49"/>
      <c r="B14" s="50" t="s">
        <v>35</v>
      </c>
      <c r="C14" s="39"/>
      <c r="D14" s="40">
        <v>15</v>
      </c>
      <c r="E14" s="51"/>
      <c r="F14" s="50">
        <v>11</v>
      </c>
      <c r="G14" s="43"/>
      <c r="H14" s="56">
        <v>0.6</v>
      </c>
      <c r="I14" s="45">
        <v>2</v>
      </c>
      <c r="J14" s="45">
        <v>24</v>
      </c>
      <c r="K14" s="45">
        <f t="shared" si="1"/>
        <v>26</v>
      </c>
      <c r="L14" s="46">
        <f t="shared" si="3"/>
        <v>11.61</v>
      </c>
      <c r="M14" s="47">
        <f t="shared" si="2"/>
        <v>1.9656</v>
      </c>
      <c r="O14" s="48">
        <f t="shared" si="4"/>
        <v>31.2</v>
      </c>
    </row>
    <row r="15" spans="1:15" s="48" customFormat="1" ht="12" customHeight="1" x14ac:dyDescent="0.3">
      <c r="A15" s="49"/>
      <c r="B15" s="50" t="s">
        <v>36</v>
      </c>
      <c r="C15" s="39"/>
      <c r="D15" s="40">
        <v>24</v>
      </c>
      <c r="E15" s="51"/>
      <c r="F15" s="50">
        <v>11</v>
      </c>
      <c r="G15" s="43"/>
      <c r="H15" s="56">
        <v>0.6</v>
      </c>
      <c r="I15" s="45">
        <v>1</v>
      </c>
      <c r="J15" s="45">
        <v>24</v>
      </c>
      <c r="K15" s="45">
        <f t="shared" si="1"/>
        <v>35</v>
      </c>
      <c r="L15" s="46">
        <f t="shared" si="3"/>
        <v>7.81</v>
      </c>
      <c r="M15" s="47">
        <f t="shared" si="2"/>
        <v>1.323</v>
      </c>
      <c r="O15" s="48">
        <f t="shared" si="4"/>
        <v>21</v>
      </c>
    </row>
    <row r="16" spans="1:15" s="48" customFormat="1" ht="12" customHeight="1" x14ac:dyDescent="0.3">
      <c r="A16" s="49"/>
      <c r="B16" s="50"/>
      <c r="C16" s="39"/>
      <c r="D16" s="40"/>
      <c r="E16" s="51"/>
      <c r="F16" s="50"/>
      <c r="G16" s="43"/>
      <c r="H16" s="56" t="str">
        <f t="shared" si="0"/>
        <v/>
      </c>
      <c r="I16" s="45"/>
      <c r="J16" s="45"/>
      <c r="K16" s="45" t="str">
        <f t="shared" si="1"/>
        <v/>
      </c>
      <c r="L16" s="46" t="str">
        <f t="shared" si="3"/>
        <v/>
      </c>
      <c r="M16" s="47"/>
      <c r="O16" s="48" t="e">
        <f t="shared" si="4"/>
        <v>#VALUE!</v>
      </c>
    </row>
    <row r="17" spans="1:15" s="48" customFormat="1" ht="12" customHeight="1" x14ac:dyDescent="0.3">
      <c r="A17" s="49"/>
      <c r="B17" s="50"/>
      <c r="C17" s="39"/>
      <c r="D17" s="40"/>
      <c r="E17" s="51"/>
      <c r="F17" s="50"/>
      <c r="G17" s="43"/>
      <c r="H17" s="56" t="str">
        <f t="shared" si="0"/>
        <v/>
      </c>
      <c r="I17" s="45"/>
      <c r="J17" s="45"/>
      <c r="K17" s="45" t="str">
        <f t="shared" si="1"/>
        <v/>
      </c>
      <c r="L17" s="46" t="str">
        <f t="shared" si="3"/>
        <v/>
      </c>
      <c r="M17" s="47"/>
      <c r="O17" s="48" t="e">
        <f t="shared" si="4"/>
        <v>#VALUE!</v>
      </c>
    </row>
    <row r="18" spans="1:15" s="48" customFormat="1" ht="12" customHeight="1" x14ac:dyDescent="0.3">
      <c r="A18" s="49"/>
      <c r="B18" s="50"/>
      <c r="C18" s="50"/>
      <c r="D18" s="40"/>
      <c r="E18" s="51"/>
      <c r="F18" s="50"/>
      <c r="G18" s="52"/>
      <c r="H18" s="56" t="str">
        <f t="shared" si="0"/>
        <v/>
      </c>
      <c r="I18" s="45"/>
      <c r="J18" s="45"/>
      <c r="K18" s="45"/>
      <c r="L18" s="46" t="str">
        <f t="shared" si="3"/>
        <v/>
      </c>
      <c r="M18" s="47"/>
      <c r="O18" s="48" t="e">
        <f t="shared" si="4"/>
        <v>#VALUE!</v>
      </c>
    </row>
    <row r="19" spans="1:15" s="48" customFormat="1" ht="12" customHeight="1" x14ac:dyDescent="0.3">
      <c r="A19" s="49"/>
      <c r="B19" s="50"/>
      <c r="C19" s="50"/>
      <c r="D19" s="40"/>
      <c r="E19" s="51"/>
      <c r="F19" s="50"/>
      <c r="G19" s="52"/>
      <c r="H19" s="56" t="str">
        <f t="shared" si="0"/>
        <v/>
      </c>
      <c r="I19" s="45"/>
      <c r="J19" s="45"/>
      <c r="K19" s="45"/>
      <c r="L19" s="46" t="str">
        <f t="shared" si="3"/>
        <v/>
      </c>
      <c r="M19" s="47"/>
      <c r="O19" s="48" t="e">
        <f t="shared" si="4"/>
        <v>#VALUE!</v>
      </c>
    </row>
    <row r="20" spans="1:15" s="48" customFormat="1" ht="12" customHeight="1" x14ac:dyDescent="0.3">
      <c r="A20" s="49"/>
      <c r="B20" s="50"/>
      <c r="C20" s="50"/>
      <c r="D20" s="40"/>
      <c r="E20" s="51"/>
      <c r="F20" s="50"/>
      <c r="G20" s="52"/>
      <c r="H20" s="56" t="str">
        <f t="shared" si="0"/>
        <v/>
      </c>
      <c r="I20" s="45"/>
      <c r="J20" s="45"/>
      <c r="K20" s="45"/>
      <c r="L20" s="46" t="str">
        <f t="shared" si="3"/>
        <v/>
      </c>
      <c r="M20" s="47"/>
      <c r="O20" s="48" t="e">
        <f t="shared" si="4"/>
        <v>#VALUE!</v>
      </c>
    </row>
    <row r="21" spans="1:15" s="48" customFormat="1" ht="12" customHeight="1" x14ac:dyDescent="0.3">
      <c r="A21" s="49"/>
      <c r="B21" s="50"/>
      <c r="C21" s="50"/>
      <c r="D21" s="40"/>
      <c r="E21" s="51"/>
      <c r="F21" s="50"/>
      <c r="G21" s="52"/>
      <c r="H21" s="56" t="str">
        <f t="shared" si="0"/>
        <v/>
      </c>
      <c r="I21" s="45"/>
      <c r="J21" s="45"/>
      <c r="K21" s="45"/>
      <c r="L21" s="46" t="str">
        <f t="shared" si="3"/>
        <v/>
      </c>
      <c r="M21" s="47"/>
      <c r="O21" s="48" t="e">
        <f t="shared" si="4"/>
        <v>#VALUE!</v>
      </c>
    </row>
    <row r="22" spans="1:15" s="48" customFormat="1" ht="12" customHeight="1" x14ac:dyDescent="0.3">
      <c r="A22" s="49"/>
      <c r="B22" s="50"/>
      <c r="C22" s="50"/>
      <c r="D22" s="40"/>
      <c r="E22" s="51"/>
      <c r="F22" s="50"/>
      <c r="G22" s="52"/>
      <c r="H22" s="56" t="str">
        <f t="shared" si="0"/>
        <v/>
      </c>
      <c r="I22" s="45"/>
      <c r="J22" s="45"/>
      <c r="K22" s="45"/>
      <c r="L22" s="46" t="str">
        <f t="shared" si="3"/>
        <v/>
      </c>
      <c r="M22" s="47"/>
      <c r="O22" s="48" t="e">
        <f t="shared" si="4"/>
        <v>#VALUE!</v>
      </c>
    </row>
    <row r="23" spans="1:15" s="48" customFormat="1" ht="12" customHeight="1" x14ac:dyDescent="0.3">
      <c r="A23" s="49"/>
      <c r="B23" s="50"/>
      <c r="C23" s="50"/>
      <c r="D23" s="53"/>
      <c r="E23" s="51"/>
      <c r="F23" s="54"/>
      <c r="G23" s="52"/>
      <c r="H23" s="56" t="str">
        <f t="shared" si="0"/>
        <v/>
      </c>
      <c r="I23" s="45"/>
      <c r="J23" s="45"/>
      <c r="K23" s="45"/>
      <c r="L23" s="46" t="str">
        <f t="shared" si="3"/>
        <v/>
      </c>
      <c r="M23" s="47"/>
      <c r="O23" s="48" t="e">
        <f t="shared" si="4"/>
        <v>#VALUE!</v>
      </c>
    </row>
    <row r="24" spans="1:15" s="48" customFormat="1" ht="12" customHeight="1" x14ac:dyDescent="0.3">
      <c r="A24" s="49"/>
      <c r="B24" s="50"/>
      <c r="C24" s="50"/>
      <c r="D24" s="40"/>
      <c r="E24" s="51"/>
      <c r="F24" s="50"/>
      <c r="G24" s="52"/>
      <c r="H24" s="56" t="str">
        <f t="shared" si="0"/>
        <v/>
      </c>
      <c r="I24" s="45"/>
      <c r="J24" s="45"/>
      <c r="K24" s="45"/>
      <c r="L24" s="46" t="str">
        <f t="shared" si="3"/>
        <v/>
      </c>
      <c r="M24" s="47"/>
      <c r="O24" s="48" t="e">
        <f t="shared" si="4"/>
        <v>#VALUE!</v>
      </c>
    </row>
    <row r="25" spans="1:15" s="48" customFormat="1" ht="12" customHeight="1" x14ac:dyDescent="0.3">
      <c r="A25" s="49"/>
      <c r="B25" s="50"/>
      <c r="C25" s="50"/>
      <c r="D25" s="40"/>
      <c r="E25" s="51"/>
      <c r="F25" s="50"/>
      <c r="G25" s="52"/>
      <c r="H25" s="56" t="str">
        <f t="shared" si="0"/>
        <v/>
      </c>
      <c r="I25" s="45"/>
      <c r="J25" s="45"/>
      <c r="K25" s="45"/>
      <c r="L25" s="46" t="str">
        <f t="shared" si="3"/>
        <v/>
      </c>
      <c r="M25" s="47"/>
      <c r="O25" s="48" t="e">
        <f t="shared" si="4"/>
        <v>#VALUE!</v>
      </c>
    </row>
    <row r="26" spans="1:15" s="48" customFormat="1" ht="12" customHeight="1" x14ac:dyDescent="0.3">
      <c r="A26" s="49"/>
      <c r="B26" s="50"/>
      <c r="C26" s="50"/>
      <c r="D26" s="53"/>
      <c r="E26" s="51"/>
      <c r="F26" s="54"/>
      <c r="G26" s="52"/>
      <c r="H26" s="56" t="str">
        <f t="shared" si="0"/>
        <v/>
      </c>
      <c r="I26" s="45"/>
      <c r="J26" s="45"/>
      <c r="K26" s="45"/>
      <c r="L26" s="46" t="str">
        <f t="shared" si="3"/>
        <v/>
      </c>
      <c r="M26" s="47"/>
      <c r="O26" s="48" t="e">
        <f t="shared" si="4"/>
        <v>#VALUE!</v>
      </c>
    </row>
    <row r="27" spans="1:15" s="48" customFormat="1" ht="12" customHeight="1" x14ac:dyDescent="0.3">
      <c r="A27" s="49"/>
      <c r="B27" s="50"/>
      <c r="C27" s="50"/>
      <c r="D27" s="40"/>
      <c r="E27" s="51"/>
      <c r="F27" s="50"/>
      <c r="G27" s="52"/>
      <c r="H27" s="56" t="str">
        <f t="shared" si="0"/>
        <v/>
      </c>
      <c r="I27" s="45"/>
      <c r="J27" s="45"/>
      <c r="K27" s="45"/>
      <c r="L27" s="46" t="str">
        <f t="shared" si="3"/>
        <v/>
      </c>
      <c r="M27" s="47"/>
      <c r="O27" s="48" t="e">
        <f t="shared" si="4"/>
        <v>#VALUE!</v>
      </c>
    </row>
    <row r="28" spans="1:15" s="48" customFormat="1" ht="12" customHeight="1" x14ac:dyDescent="0.3">
      <c r="A28" s="38"/>
      <c r="B28" s="50"/>
      <c r="C28" s="50"/>
      <c r="D28" s="40"/>
      <c r="E28" s="51"/>
      <c r="F28" s="50"/>
      <c r="G28" s="52"/>
      <c r="H28" s="56" t="str">
        <f t="shared" si="0"/>
        <v/>
      </c>
      <c r="I28" s="45"/>
      <c r="J28" s="45"/>
      <c r="K28" s="45"/>
      <c r="L28" s="46" t="str">
        <f t="shared" si="3"/>
        <v/>
      </c>
      <c r="M28" s="47"/>
      <c r="O28" s="48" t="e">
        <f t="shared" si="4"/>
        <v>#VALUE!</v>
      </c>
    </row>
    <row r="29" spans="1:15" s="48" customFormat="1" ht="12" customHeight="1" x14ac:dyDescent="0.3">
      <c r="A29" s="49"/>
      <c r="B29" s="50"/>
      <c r="C29" s="50"/>
      <c r="D29" s="40"/>
      <c r="E29" s="51"/>
      <c r="F29" s="50"/>
      <c r="G29" s="52"/>
      <c r="H29" s="56" t="str">
        <f t="shared" si="0"/>
        <v/>
      </c>
      <c r="I29" s="45"/>
      <c r="J29" s="45"/>
      <c r="K29" s="45"/>
      <c r="L29" s="46" t="str">
        <f t="shared" si="3"/>
        <v/>
      </c>
      <c r="M29" s="47"/>
      <c r="O29" s="48" t="e">
        <f t="shared" si="4"/>
        <v>#VALUE!</v>
      </c>
    </row>
    <row r="30" spans="1:15" s="48" customFormat="1" ht="12" customHeight="1" x14ac:dyDescent="0.3">
      <c r="A30" s="49"/>
      <c r="B30" s="50"/>
      <c r="C30" s="50"/>
      <c r="D30" s="40"/>
      <c r="E30" s="51"/>
      <c r="F30" s="50"/>
      <c r="G30" s="52"/>
      <c r="H30" s="56" t="str">
        <f t="shared" si="0"/>
        <v/>
      </c>
      <c r="I30" s="45"/>
      <c r="J30" s="45"/>
      <c r="K30" s="45"/>
      <c r="L30" s="46" t="str">
        <f t="shared" si="3"/>
        <v/>
      </c>
      <c r="M30" s="47"/>
      <c r="O30" s="48" t="e">
        <f t="shared" si="4"/>
        <v>#VALUE!</v>
      </c>
    </row>
    <row r="31" spans="1:15" s="48" customFormat="1" ht="12" customHeight="1" x14ac:dyDescent="0.3">
      <c r="A31" s="49"/>
      <c r="B31" s="50"/>
      <c r="C31" s="50"/>
      <c r="D31" s="40"/>
      <c r="E31" s="51"/>
      <c r="F31" s="50"/>
      <c r="G31" s="52"/>
      <c r="H31" s="56" t="str">
        <f t="shared" si="0"/>
        <v/>
      </c>
      <c r="I31" s="45"/>
      <c r="J31" s="45"/>
      <c r="K31" s="45"/>
      <c r="L31" s="46" t="str">
        <f t="shared" si="3"/>
        <v/>
      </c>
      <c r="M31" s="47"/>
      <c r="O31" s="48" t="e">
        <f t="shared" si="4"/>
        <v>#VALUE!</v>
      </c>
    </row>
    <row r="32" spans="1:15" s="48" customFormat="1" ht="12" customHeight="1" x14ac:dyDescent="0.3">
      <c r="A32" s="49"/>
      <c r="B32" s="50"/>
      <c r="C32" s="50"/>
      <c r="D32" s="40"/>
      <c r="E32" s="51"/>
      <c r="F32" s="50"/>
      <c r="G32" s="52"/>
      <c r="H32" s="56" t="str">
        <f t="shared" si="0"/>
        <v/>
      </c>
      <c r="I32" s="45"/>
      <c r="J32" s="45"/>
      <c r="K32" s="45"/>
      <c r="L32" s="46" t="str">
        <f t="shared" si="3"/>
        <v/>
      </c>
      <c r="M32" s="47"/>
      <c r="O32" s="48" t="e">
        <f t="shared" si="4"/>
        <v>#VALUE!</v>
      </c>
    </row>
    <row r="33" spans="1:15" s="48" customFormat="1" ht="12" customHeight="1" x14ac:dyDescent="0.3">
      <c r="A33" s="49"/>
      <c r="B33" s="50"/>
      <c r="C33" s="50"/>
      <c r="D33" s="53"/>
      <c r="E33" s="51"/>
      <c r="F33" s="54"/>
      <c r="G33" s="52"/>
      <c r="H33" s="56" t="str">
        <f t="shared" si="0"/>
        <v/>
      </c>
      <c r="I33" s="45"/>
      <c r="J33" s="45"/>
      <c r="K33" s="45"/>
      <c r="L33" s="46" t="str">
        <f t="shared" si="3"/>
        <v/>
      </c>
      <c r="M33" s="47"/>
      <c r="O33" s="48" t="e">
        <f t="shared" si="4"/>
        <v>#VALUE!</v>
      </c>
    </row>
    <row r="34" spans="1:15" s="48" customFormat="1" ht="12" customHeight="1" x14ac:dyDescent="0.3">
      <c r="A34" s="49"/>
      <c r="B34" s="50"/>
      <c r="C34" s="50"/>
      <c r="D34" s="53"/>
      <c r="E34" s="51"/>
      <c r="F34" s="54"/>
      <c r="G34" s="52"/>
      <c r="H34" s="56" t="str">
        <f t="shared" si="0"/>
        <v/>
      </c>
      <c r="I34" s="45"/>
      <c r="J34" s="45"/>
      <c r="K34" s="45"/>
      <c r="L34" s="46" t="str">
        <f t="shared" si="3"/>
        <v/>
      </c>
      <c r="M34" s="47"/>
      <c r="O34" s="48" t="e">
        <f t="shared" si="4"/>
        <v>#VALUE!</v>
      </c>
    </row>
    <row r="35" spans="1:15" s="48" customFormat="1" ht="12" customHeight="1" x14ac:dyDescent="0.3">
      <c r="A35" s="49"/>
      <c r="B35" s="50"/>
      <c r="C35" s="50"/>
      <c r="D35" s="40"/>
      <c r="E35" s="51"/>
      <c r="F35" s="50"/>
      <c r="G35" s="52"/>
      <c r="H35" s="56" t="str">
        <f t="shared" si="0"/>
        <v/>
      </c>
      <c r="I35" s="45"/>
      <c r="J35" s="45"/>
      <c r="K35" s="45"/>
      <c r="L35" s="46" t="str">
        <f t="shared" si="3"/>
        <v/>
      </c>
      <c r="M35" s="47"/>
      <c r="O35" s="48" t="e">
        <f t="shared" si="4"/>
        <v>#VALUE!</v>
      </c>
    </row>
    <row r="36" spans="1:15" s="48" customFormat="1" ht="12" customHeight="1" x14ac:dyDescent="0.3">
      <c r="A36" s="49"/>
      <c r="B36" s="50"/>
      <c r="C36" s="50"/>
      <c r="D36" s="53"/>
      <c r="E36" s="51"/>
      <c r="F36" s="50"/>
      <c r="G36" s="52"/>
      <c r="H36" s="56" t="str">
        <f t="shared" si="0"/>
        <v/>
      </c>
      <c r="I36" s="45"/>
      <c r="J36" s="45"/>
      <c r="K36" s="45"/>
      <c r="L36" s="46" t="str">
        <f t="shared" si="3"/>
        <v/>
      </c>
      <c r="M36" s="47"/>
      <c r="O36" s="48" t="e">
        <f t="shared" si="4"/>
        <v>#VALUE!</v>
      </c>
    </row>
    <row r="37" spans="1:15" s="48" customFormat="1" ht="12" customHeight="1" x14ac:dyDescent="0.3">
      <c r="A37" s="49"/>
      <c r="B37" s="50"/>
      <c r="C37" s="50"/>
      <c r="D37" s="53"/>
      <c r="E37" s="51"/>
      <c r="F37" s="54"/>
      <c r="G37" s="52"/>
      <c r="H37" s="56" t="str">
        <f t="shared" si="0"/>
        <v/>
      </c>
      <c r="I37" s="45"/>
      <c r="J37" s="45"/>
      <c r="K37" s="45"/>
      <c r="L37" s="46" t="str">
        <f t="shared" si="3"/>
        <v/>
      </c>
      <c r="M37" s="47"/>
      <c r="O37" s="48" t="e">
        <f t="shared" si="4"/>
        <v>#VALUE!</v>
      </c>
    </row>
    <row r="38" spans="1:15" s="48" customFormat="1" ht="12" customHeight="1" x14ac:dyDescent="0.3">
      <c r="A38" s="49"/>
      <c r="B38" s="50"/>
      <c r="C38" s="50"/>
      <c r="D38" s="40"/>
      <c r="E38" s="51"/>
      <c r="F38" s="50"/>
      <c r="G38" s="52"/>
      <c r="H38" s="56" t="str">
        <f t="shared" si="0"/>
        <v/>
      </c>
      <c r="I38" s="45"/>
      <c r="J38" s="45"/>
      <c r="K38" s="45"/>
      <c r="L38" s="46" t="str">
        <f t="shared" si="3"/>
        <v/>
      </c>
      <c r="M38" s="47"/>
      <c r="O38" s="48" t="e">
        <f t="shared" si="4"/>
        <v>#VALUE!</v>
      </c>
    </row>
    <row r="39" spans="1:15" s="48" customFormat="1" ht="12" customHeight="1" x14ac:dyDescent="0.3">
      <c r="A39" s="49"/>
      <c r="B39" s="50"/>
      <c r="C39" s="50"/>
      <c r="D39" s="40"/>
      <c r="E39" s="51"/>
      <c r="F39" s="50"/>
      <c r="G39" s="52"/>
      <c r="H39" s="56" t="str">
        <f t="shared" si="0"/>
        <v/>
      </c>
      <c r="I39" s="45"/>
      <c r="J39" s="45"/>
      <c r="K39" s="45"/>
      <c r="L39" s="46" t="str">
        <f t="shared" si="3"/>
        <v/>
      </c>
      <c r="M39" s="47"/>
      <c r="O39" s="48" t="e">
        <f t="shared" si="4"/>
        <v>#VALUE!</v>
      </c>
    </row>
    <row r="40" spans="1:15" s="48" customFormat="1" ht="12" customHeight="1" x14ac:dyDescent="0.3">
      <c r="A40" s="49"/>
      <c r="B40" s="50"/>
      <c r="C40" s="50"/>
      <c r="D40" s="40"/>
      <c r="E40" s="51"/>
      <c r="F40" s="50"/>
      <c r="G40" s="52"/>
      <c r="H40" s="56" t="str">
        <f t="shared" si="0"/>
        <v/>
      </c>
      <c r="I40" s="45"/>
      <c r="J40" s="45"/>
      <c r="K40" s="45"/>
      <c r="L40" s="46" t="str">
        <f t="shared" si="3"/>
        <v/>
      </c>
      <c r="M40" s="47"/>
      <c r="O40" s="48" t="e">
        <f t="shared" si="4"/>
        <v>#VALUE!</v>
      </c>
    </row>
    <row r="41" spans="1:15" s="48" customFormat="1" ht="12" customHeight="1" x14ac:dyDescent="0.3">
      <c r="A41" s="49"/>
      <c r="B41" s="50"/>
      <c r="C41" s="50"/>
      <c r="D41" s="40"/>
      <c r="E41" s="51"/>
      <c r="F41" s="50"/>
      <c r="G41" s="52"/>
      <c r="H41" s="56" t="str">
        <f t="shared" si="0"/>
        <v/>
      </c>
      <c r="I41" s="45"/>
      <c r="J41" s="45"/>
      <c r="K41" s="45"/>
      <c r="L41" s="46" t="str">
        <f t="shared" si="3"/>
        <v/>
      </c>
      <c r="M41" s="47"/>
      <c r="O41" s="48" t="e">
        <f t="shared" si="4"/>
        <v>#VALUE!</v>
      </c>
    </row>
    <row r="42" spans="1:15" s="48" customFormat="1" ht="12" customHeight="1" x14ac:dyDescent="0.3">
      <c r="A42" s="49"/>
      <c r="B42" s="50"/>
      <c r="C42" s="50"/>
      <c r="D42" s="40"/>
      <c r="E42" s="51"/>
      <c r="F42" s="50"/>
      <c r="G42" s="52"/>
      <c r="H42" s="56" t="str">
        <f t="shared" si="0"/>
        <v/>
      </c>
      <c r="I42" s="45"/>
      <c r="J42" s="45"/>
      <c r="K42" s="45"/>
      <c r="L42" s="46" t="str">
        <f t="shared" si="3"/>
        <v/>
      </c>
      <c r="M42" s="47"/>
      <c r="O42" s="48" t="e">
        <f t="shared" si="4"/>
        <v>#VALUE!</v>
      </c>
    </row>
    <row r="43" spans="1:15" s="48" customFormat="1" ht="12" customHeight="1" x14ac:dyDescent="0.3">
      <c r="A43" s="49"/>
      <c r="B43" s="50"/>
      <c r="C43" s="50"/>
      <c r="D43" s="40"/>
      <c r="E43" s="51"/>
      <c r="F43" s="50"/>
      <c r="G43" s="52"/>
      <c r="H43" s="56" t="str">
        <f t="shared" si="0"/>
        <v/>
      </c>
      <c r="I43" s="45"/>
      <c r="J43" s="45"/>
      <c r="K43" s="45"/>
      <c r="L43" s="46" t="str">
        <f t="shared" si="3"/>
        <v/>
      </c>
      <c r="M43" s="47"/>
      <c r="O43" s="48" t="e">
        <f t="shared" si="4"/>
        <v>#VALUE!</v>
      </c>
    </row>
    <row r="44" spans="1:15" s="48" customFormat="1" ht="12" customHeight="1" x14ac:dyDescent="0.3">
      <c r="A44" s="38"/>
      <c r="B44" s="50"/>
      <c r="C44" s="50"/>
      <c r="D44" s="40">
        <v>0</v>
      </c>
      <c r="E44" s="51"/>
      <c r="F44" s="50">
        <v>0</v>
      </c>
      <c r="G44" s="52"/>
      <c r="H44" s="56" t="str">
        <f t="shared" si="0"/>
        <v/>
      </c>
      <c r="I44" s="45">
        <v>0</v>
      </c>
      <c r="J44" s="45"/>
      <c r="K44" s="45">
        <f t="shared" si="1"/>
        <v>0</v>
      </c>
      <c r="L44" s="46" t="str">
        <f t="shared" si="3"/>
        <v/>
      </c>
      <c r="M44" s="47"/>
      <c r="O44" s="48" t="e">
        <f t="shared" si="4"/>
        <v>#VALUE!</v>
      </c>
    </row>
    <row r="45" spans="1:15" s="48" customFormat="1" ht="12" customHeight="1" x14ac:dyDescent="0.3">
      <c r="A45" s="49"/>
      <c r="B45" s="50"/>
      <c r="C45" s="50"/>
      <c r="D45" s="40">
        <v>0</v>
      </c>
      <c r="E45" s="51">
        <v>0</v>
      </c>
      <c r="F45" s="50">
        <v>0</v>
      </c>
      <c r="G45" s="52"/>
      <c r="H45" s="56" t="str">
        <f t="shared" si="0"/>
        <v/>
      </c>
      <c r="I45" s="45">
        <v>0</v>
      </c>
      <c r="J45" s="45"/>
      <c r="K45" s="45">
        <f t="shared" si="1"/>
        <v>0</v>
      </c>
      <c r="L45" s="46" t="str">
        <f t="shared" si="3"/>
        <v/>
      </c>
      <c r="M45" s="47"/>
      <c r="O45" s="48" t="e">
        <f t="shared" si="4"/>
        <v>#VALUE!</v>
      </c>
    </row>
    <row r="46" spans="1:15" s="48" customFormat="1" ht="12" customHeight="1" x14ac:dyDescent="0.3">
      <c r="A46" s="49"/>
      <c r="B46" s="50"/>
      <c r="C46" s="50"/>
      <c r="D46" s="40">
        <v>0</v>
      </c>
      <c r="E46" s="51"/>
      <c r="F46" s="50">
        <v>0</v>
      </c>
      <c r="G46" s="52"/>
      <c r="H46" s="56" t="str">
        <f t="shared" si="0"/>
        <v/>
      </c>
      <c r="I46" s="45">
        <v>0</v>
      </c>
      <c r="J46" s="45"/>
      <c r="K46" s="45">
        <f>IF(D46="","",D46+F46)</f>
        <v>0</v>
      </c>
      <c r="L46" s="46" t="str">
        <f t="shared" si="3"/>
        <v/>
      </c>
      <c r="M46" s="47"/>
      <c r="O46" s="48" t="e">
        <f>(H46*(D46+F46))*I46</f>
        <v>#VALUE!</v>
      </c>
    </row>
    <row r="47" spans="1:15" ht="12" customHeight="1" x14ac:dyDescent="0.3">
      <c r="A47" s="55"/>
      <c r="B47" s="39"/>
      <c r="C47" s="39"/>
      <c r="D47" s="40">
        <v>0</v>
      </c>
      <c r="E47" s="51">
        <v>0</v>
      </c>
      <c r="F47" s="50">
        <v>0</v>
      </c>
      <c r="G47" s="52"/>
      <c r="H47" s="56" t="str">
        <f t="shared" si="0"/>
        <v/>
      </c>
      <c r="I47" s="45">
        <v>0</v>
      </c>
      <c r="J47" s="44"/>
      <c r="K47" s="44">
        <f>IF(D47="","",D47+F47)</f>
        <v>0</v>
      </c>
      <c r="L47" s="46" t="str">
        <f t="shared" si="3"/>
        <v/>
      </c>
      <c r="M47" s="47"/>
      <c r="O47" t="e">
        <f>(H47*(D47+F47))*I47</f>
        <v>#VALUE!</v>
      </c>
    </row>
    <row r="48" spans="1:15" ht="12" customHeight="1" x14ac:dyDescent="0.3">
      <c r="A48" s="55"/>
      <c r="B48" s="39"/>
      <c r="C48" s="39"/>
      <c r="D48" s="40">
        <v>0</v>
      </c>
      <c r="E48" s="51"/>
      <c r="F48" s="50">
        <v>0</v>
      </c>
      <c r="G48" s="52"/>
      <c r="H48" s="56" t="str">
        <f t="shared" si="0"/>
        <v/>
      </c>
      <c r="I48" s="45">
        <v>0</v>
      </c>
      <c r="J48" s="44"/>
      <c r="K48" s="44">
        <f t="shared" si="1"/>
        <v>0</v>
      </c>
      <c r="L48" s="46" t="str">
        <f t="shared" si="3"/>
        <v/>
      </c>
      <c r="M48" s="47"/>
      <c r="O48" t="e">
        <f t="shared" si="4"/>
        <v>#VALUE!</v>
      </c>
    </row>
    <row r="49" spans="1:15" ht="12" customHeight="1" x14ac:dyDescent="0.3">
      <c r="A49" s="55"/>
      <c r="B49" s="39"/>
      <c r="C49" s="39"/>
      <c r="D49" s="40">
        <v>0</v>
      </c>
      <c r="E49" s="51">
        <v>0</v>
      </c>
      <c r="F49" s="50">
        <v>0</v>
      </c>
      <c r="G49" s="52"/>
      <c r="H49" s="56" t="str">
        <f t="shared" si="0"/>
        <v/>
      </c>
      <c r="I49" s="45">
        <v>0</v>
      </c>
      <c r="J49" s="44"/>
      <c r="K49" s="44">
        <f>IF(D49="","",D49+F49)</f>
        <v>0</v>
      </c>
      <c r="L49" s="46" t="str">
        <f t="shared" si="3"/>
        <v/>
      </c>
      <c r="M49" s="47"/>
      <c r="O49" t="e">
        <f>(H49*(D49+F49))*I49</f>
        <v>#VALUE!</v>
      </c>
    </row>
    <row r="50" spans="1:15" ht="12" customHeight="1" x14ac:dyDescent="0.3">
      <c r="A50" s="55"/>
      <c r="B50" s="58"/>
      <c r="C50" s="39"/>
      <c r="D50" s="59"/>
      <c r="E50" s="41"/>
      <c r="F50" s="39"/>
      <c r="G50" s="39" t="s">
        <v>31</v>
      </c>
      <c r="H50" s="60"/>
      <c r="I50" s="60"/>
      <c r="J50" s="60"/>
      <c r="K50" s="43"/>
      <c r="L50" s="56">
        <f>SUM(L10:L49)</f>
        <v>65.45</v>
      </c>
      <c r="M50" s="57"/>
    </row>
    <row r="51" spans="1:15" ht="12" customHeight="1" x14ac:dyDescent="0.3">
      <c r="A51" s="55"/>
      <c r="B51" s="58"/>
      <c r="C51" s="39"/>
      <c r="D51" s="59"/>
      <c r="E51" s="41"/>
      <c r="F51" s="39"/>
      <c r="G51" s="39"/>
      <c r="H51" s="60"/>
      <c r="I51" s="60"/>
      <c r="J51" s="60"/>
      <c r="K51" s="43"/>
      <c r="L51" s="56"/>
      <c r="M51" s="57"/>
    </row>
    <row r="52" spans="1:15" x14ac:dyDescent="0.3">
      <c r="A52" s="61"/>
      <c r="B52" s="62"/>
      <c r="C52" s="63"/>
      <c r="D52" s="64"/>
      <c r="E52" s="65"/>
      <c r="F52" s="63"/>
      <c r="G52" s="63" t="s">
        <v>32</v>
      </c>
      <c r="H52" s="66"/>
      <c r="I52" s="66"/>
      <c r="J52" s="66"/>
      <c r="K52" s="67"/>
      <c r="L52" s="68">
        <f>SUM(M10:M49)</f>
        <v>11.0830608</v>
      </c>
      <c r="M52" s="57"/>
    </row>
    <row r="53" spans="1:15" ht="7.5" customHeight="1" x14ac:dyDescent="0.3">
      <c r="A53" s="69"/>
      <c r="B53" s="70"/>
      <c r="C53" s="70"/>
      <c r="D53" s="71"/>
      <c r="E53" s="72"/>
      <c r="F53" s="70"/>
      <c r="G53" s="73"/>
      <c r="H53" s="74"/>
      <c r="I53" s="74"/>
      <c r="J53" s="74"/>
      <c r="K53" s="74"/>
      <c r="L53" s="75"/>
      <c r="M53" s="57"/>
    </row>
  </sheetData>
  <mergeCells count="10">
    <mergeCell ref="E5:F5"/>
    <mergeCell ref="K1:L1"/>
    <mergeCell ref="A2:C2"/>
    <mergeCell ref="A3:B3"/>
    <mergeCell ref="E3:J3"/>
    <mergeCell ref="K3:L3"/>
    <mergeCell ref="A4:B4"/>
    <mergeCell ref="C4:D4"/>
    <mergeCell ref="E4:F4"/>
    <mergeCell ref="G4:L4"/>
  </mergeCells>
  <hyperlinks>
    <hyperlink ref="B7" r:id="rId1" display="../../Downloads/LIBRERIAS.xls" xr:uid="{00000000-0004-0000-0000-000000000000}"/>
  </hyperlinks>
  <pageMargins left="0.19685039370078741" right="0.19685039370078741" top="1.1023622047244095" bottom="0.39370078740157483" header="0" footer="0"/>
  <pageSetup fitToWidth="2" fitToHeight="2" orientation="portrait" horizontalDpi="300" verticalDpi="300" r:id="rId2"/>
  <headerFooter alignWithMargins="0">
    <oddHeader>&amp;L&amp;G</oddHeader>
    <oddFooter>&amp;R&amp;"Arial,Negrita"&amp;12Pag: &amp;P DE &amp;N</oddFooter>
  </headerFooter>
  <drawing r:id="rId3"/>
  <legacy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sk</vt:lpstr>
      <vt:lpstr>sk!Área_de_impresión</vt:lpstr>
      <vt:lpstr>calibre20</vt:lpstr>
      <vt:lpstr>sk!Títulos_a_imprimir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</dc:creator>
  <cp:lastModifiedBy>David</cp:lastModifiedBy>
  <cp:lastPrinted>2018-07-04T19:08:32Z</cp:lastPrinted>
  <dcterms:created xsi:type="dcterms:W3CDTF">2018-07-02T16:18:50Z</dcterms:created>
  <dcterms:modified xsi:type="dcterms:W3CDTF">2026-04-07T14:11:03Z</dcterms:modified>
</cp:coreProperties>
</file>